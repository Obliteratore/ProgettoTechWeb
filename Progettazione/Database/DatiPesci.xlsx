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esktop\"/>
    </mc:Choice>
  </mc:AlternateContent>
  <xr:revisionPtr revIDLastSave="0" documentId="13_ncr:1_{190914D3-99C7-4E36-89E5-4030595272F0}" xr6:coauthVersionLast="47" xr6:coauthVersionMax="47" xr10:uidLastSave="{00000000-0000-0000-0000-000000000000}"/>
  <bookViews>
    <workbookView xWindow="-108" yWindow="-108" windowWidth="23256" windowHeight="12456" xr2:uid="{C7902DB1-EED5-4D09-8F82-6ECD23AE7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14" i="1"/>
  <c r="I15" i="1"/>
  <c r="I16" i="1"/>
  <c r="I17" i="1"/>
  <c r="I18" i="1"/>
  <c r="I19" i="1"/>
  <c r="I20" i="1"/>
  <c r="I21" i="1"/>
  <c r="I22" i="1"/>
  <c r="I23" i="1"/>
  <c r="G14" i="1"/>
  <c r="G15" i="1"/>
  <c r="G16" i="1"/>
  <c r="G17" i="1"/>
  <c r="G18" i="1"/>
  <c r="G19" i="1"/>
  <c r="G20" i="1"/>
  <c r="G21" i="1"/>
  <c r="G22" i="1"/>
  <c r="G23" i="1"/>
  <c r="G24" i="1"/>
  <c r="E14" i="1"/>
  <c r="E15" i="1"/>
  <c r="E16" i="1"/>
  <c r="E17" i="1"/>
  <c r="E18" i="1"/>
  <c r="E19" i="1"/>
  <c r="E20" i="1"/>
  <c r="E21" i="1"/>
  <c r="E22" i="1"/>
  <c r="E23" i="1"/>
  <c r="E24" i="1"/>
  <c r="G3" i="1"/>
  <c r="G4" i="1"/>
  <c r="G5" i="1"/>
  <c r="G6" i="1"/>
  <c r="G7" i="1"/>
  <c r="G8" i="1"/>
  <c r="G9" i="1"/>
  <c r="G10" i="1"/>
  <c r="G11" i="1"/>
  <c r="G12" i="1"/>
  <c r="G2" i="1"/>
  <c r="I3" i="1"/>
  <c r="I4" i="1"/>
  <c r="I5" i="1"/>
  <c r="I6" i="1"/>
  <c r="I7" i="1"/>
  <c r="I8" i="1"/>
  <c r="I9" i="1"/>
  <c r="I10" i="1"/>
  <c r="I11" i="1"/>
  <c r="I12" i="1"/>
  <c r="I2" i="1"/>
  <c r="E3" i="1"/>
  <c r="E4" i="1"/>
  <c r="E5" i="1"/>
  <c r="E6" i="1"/>
  <c r="E7" i="1"/>
  <c r="E8" i="1"/>
  <c r="E9" i="1"/>
  <c r="E10" i="1"/>
  <c r="E11" i="1"/>
  <c r="E12" i="1"/>
  <c r="E2" i="1"/>
  <c r="N22" i="1" l="1"/>
  <c r="N21" i="1"/>
  <c r="N3" i="1"/>
  <c r="N23" i="1"/>
  <c r="N24" i="1"/>
  <c r="N8" i="1"/>
  <c r="N19" i="1"/>
  <c r="N17" i="1"/>
  <c r="N16" i="1"/>
  <c r="N15" i="1"/>
  <c r="N20" i="1"/>
  <c r="N18" i="1"/>
  <c r="N14" i="1"/>
  <c r="N7" i="1"/>
  <c r="N11" i="1"/>
  <c r="N10" i="1"/>
  <c r="N5" i="1"/>
  <c r="N12" i="1"/>
  <c r="N6" i="1"/>
  <c r="N9" i="1"/>
  <c r="N4" i="1"/>
  <c r="N2" i="1"/>
</calcChain>
</file>

<file path=xl/sharedStrings.xml><?xml version="1.0" encoding="utf-8"?>
<sst xmlns="http://schemas.openxmlformats.org/spreadsheetml/2006/main" count="95" uniqueCount="84">
  <si>
    <t>famiglia</t>
  </si>
  <si>
    <t>dimensione</t>
  </si>
  <si>
    <t>colori</t>
  </si>
  <si>
    <t>nome_latino</t>
  </si>
  <si>
    <t>nome_comune</t>
  </si>
  <si>
    <t>volume_minimo</t>
  </si>
  <si>
    <t>prezzo</t>
  </si>
  <si>
    <t>sconto_percentuale</t>
  </si>
  <si>
    <t>disponibilità</t>
  </si>
  <si>
    <t>descrizione</t>
  </si>
  <si>
    <t>immagine</t>
  </si>
  <si>
    <t>data_inserimento</t>
  </si>
  <si>
    <t>Ostorhinchus chrysopomus</t>
  </si>
  <si>
    <t>Cardinale Branchia Maculata</t>
  </si>
  <si>
    <t>Apogoninae</t>
  </si>
  <si>
    <t>beige,arancione,azzurro</t>
  </si>
  <si>
    <t>Cheilodipterus quinquelineatus</t>
  </si>
  <si>
    <t>Cardinale Pentastriato</t>
  </si>
  <si>
    <t>nero,giallo</t>
  </si>
  <si>
    <t>Bavosa Crestata</t>
  </si>
  <si>
    <t xml:space="preserve"> Scartella cristata</t>
  </si>
  <si>
    <t>Parablennius gattorugine</t>
  </si>
  <si>
    <t>Bavosa Ruggine</t>
  </si>
  <si>
    <t>Ophioblennius atlanticus</t>
  </si>
  <si>
    <t>Bavosa Atlantica</t>
  </si>
  <si>
    <t>Parablennius parvicornis</t>
  </si>
  <si>
    <t>Bavosa Delle Pozze</t>
  </si>
  <si>
    <t>Aidablennius sphynx</t>
  </si>
  <si>
    <t>Bavosa Sfinge</t>
  </si>
  <si>
    <t>Pomacentrus moluccensis</t>
  </si>
  <si>
    <t>Damigella limone</t>
  </si>
  <si>
    <t>Halichoeres scapularis</t>
  </si>
  <si>
    <t>Labro a Zigzag</t>
  </si>
  <si>
    <t>Pomacanthus imperator</t>
  </si>
  <si>
    <t>Civetta</t>
  </si>
  <si>
    <t>Angelo Imperatore</t>
  </si>
  <si>
    <t>Dactylopterus volitans</t>
  </si>
  <si>
    <t>giallo, verde</t>
  </si>
  <si>
    <t>rosa,azzurro,giallo</t>
  </si>
  <si>
    <t>blu,giallo,nero</t>
  </si>
  <si>
    <t>marrone,nero,blu</t>
  </si>
  <si>
    <t>marrone,beige</t>
  </si>
  <si>
    <t>marrone,verde</t>
  </si>
  <si>
    <t>marrone,giallo</t>
  </si>
  <si>
    <t>biege,giallo,azzurro</t>
  </si>
  <si>
    <t>Blenniidae</t>
  </si>
  <si>
    <t>Pomacentridae</t>
  </si>
  <si>
    <t>Labridae</t>
  </si>
  <si>
    <t>Pomacanthidae</t>
  </si>
  <si>
    <t>Dactylopteridae</t>
  </si>
  <si>
    <t>Cheirocerus eques</t>
  </si>
  <si>
    <t>Pterophyllum scalare</t>
  </si>
  <si>
    <t>Boulengerella maculata</t>
  </si>
  <si>
    <t>Lebiasina elongata</t>
  </si>
  <si>
    <t>Amblydoras nauticus</t>
  </si>
  <si>
    <t>Hemigrammus bellottii</t>
  </si>
  <si>
    <t>Copella nattereri</t>
  </si>
  <si>
    <t>Megalamphodus erythrostigma</t>
  </si>
  <si>
    <t>Hoplisoma loretoense</t>
  </si>
  <si>
    <t>Pimelodidae</t>
  </si>
  <si>
    <t>Cichlidae</t>
  </si>
  <si>
    <t>Characidae</t>
  </si>
  <si>
    <t>Ctenoluciidae</t>
  </si>
  <si>
    <t>Doradidae</t>
  </si>
  <si>
    <t>Lebiasinidae</t>
  </si>
  <si>
    <t>Tetra Maculata</t>
  </si>
  <si>
    <t>Tetra Macchia Rossa</t>
  </si>
  <si>
    <t>Callichthyidae</t>
  </si>
  <si>
    <t>Loreto Cory</t>
  </si>
  <si>
    <t>Agujeta</t>
  </si>
  <si>
    <t>Roeboides affinis</t>
  </si>
  <si>
    <t>trasparente</t>
  </si>
  <si>
    <t>nero,trasparente</t>
  </si>
  <si>
    <t>grigio,trasparente</t>
  </si>
  <si>
    <t>grigio,nero,trasparente</t>
  </si>
  <si>
    <t>nero,beige</t>
  </si>
  <si>
    <t>nero,beige,grigio</t>
  </si>
  <si>
    <t>trasparente,grigio</t>
  </si>
  <si>
    <t>beige</t>
  </si>
  <si>
    <t>Pimelodus blochii</t>
  </si>
  <si>
    <t>Pesce Gatto Di Bloch</t>
  </si>
  <si>
    <t>nero,grigio,rosso</t>
  </si>
  <si>
    <t>giallo,rosso,trasparente</t>
  </si>
  <si>
    <t>Angelo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</si>
</sst>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67FE-E414-4277-9127-207E78293763}">
  <dimension ref="A1:N25"/>
  <sheetViews>
    <sheetView tabSelected="1" workbookViewId="0">
      <selection activeCell="B17" sqref="B17"/>
    </sheetView>
  </sheetViews>
  <sheetFormatPr defaultRowHeight="14.4"/>
  <cols>
    <col min="1" max="1" width="26.21875" bestFit="1" customWidth="1"/>
    <col min="2" max="2" width="24.44140625" bestFit="1" customWidth="1"/>
    <col min="3" max="3" width="13.44140625" bestFit="1" customWidth="1"/>
    <col min="4" max="4" width="10.33203125" bestFit="1" customWidth="1"/>
    <col min="5" max="5" width="13.6640625" bestFit="1" customWidth="1"/>
    <col min="6" max="6" width="25" bestFit="1" customWidth="1"/>
    <col min="7" max="7" width="7.77734375" bestFit="1" customWidth="1"/>
    <col min="8" max="8" width="17" bestFit="1" customWidth="1"/>
    <col min="9" max="9" width="10.6640625" bestFit="1" customWidth="1"/>
    <col min="10" max="10" width="10.21875" bestFit="1" customWidth="1"/>
    <col min="12" max="12" width="15" bestFit="1" customWidth="1"/>
    <col min="14" max="14" width="16" customWidth="1"/>
  </cols>
  <sheetData>
    <row r="1" spans="1:14">
      <c r="A1" t="s">
        <v>3</v>
      </c>
      <c r="B1" t="s">
        <v>4</v>
      </c>
      <c r="C1" t="s">
        <v>0</v>
      </c>
      <c r="D1" t="s">
        <v>1</v>
      </c>
      <c r="E1" t="s">
        <v>5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>
      <c r="A2" t="s">
        <v>12</v>
      </c>
      <c r="B2" t="s">
        <v>13</v>
      </c>
      <c r="C2" t="s">
        <v>14</v>
      </c>
      <c r="D2">
        <v>8</v>
      </c>
      <c r="E2" s="1">
        <f>D2^1.1</f>
        <v>9.8491553067593287</v>
      </c>
      <c r="F2" t="s">
        <v>15</v>
      </c>
      <c r="G2">
        <f ca="1">RANDBETWEEN(1,1500)</f>
        <v>1441</v>
      </c>
      <c r="I2">
        <f ca="1">RANDBETWEEN(1,20)</f>
        <v>18</v>
      </c>
      <c r="N2" s="2" t="str">
        <f ca="1">"INSERT INTO pesci (nome_latino, nome_comune, famiglia, dimensione, volume_minimo, colori, prezzo, sconto_percentuale, disponibilita, descrizione, immagine, data_inserimento) VALUES (" &amp; A2 &amp; ", '" &amp; B2 &amp; "', '" &amp; C2 &amp; "', '" &amp; D2 &amp; "', '" &amp; E2 &amp; "', '" &amp; F2 &amp; "', " &amp; G2 &amp; ", " &amp; H2 &amp; ", " &amp; I2 &amp; ", " &amp; J2 &amp; ", " &amp; K2 &amp; ", " &amp; L2 &amp; ");"</f>
        <v>INSERT INTO pesci (nome_latino, nome_comune, famiglia, dimensione, volume_minimo, colori, prezzo, sconto_percentuale, disponibilita, descrizione, immagine, data_inserimento) VALUES (Ostorhinchus chrysopomus, 'Cardinale Branchia Maculata', 'Apogoninae', '8', '9,84915530675933', 'beige,arancione,azzurro', 1441, , 18, , , );</v>
      </c>
    </row>
    <row r="3" spans="1:14">
      <c r="A3" t="s">
        <v>16</v>
      </c>
      <c r="B3" t="s">
        <v>17</v>
      </c>
      <c r="C3" t="s">
        <v>14</v>
      </c>
      <c r="D3">
        <v>11</v>
      </c>
      <c r="E3" s="1">
        <f t="shared" ref="E3:E24" si="0">D3^1.1</f>
        <v>13.98079776731155</v>
      </c>
      <c r="F3" t="s">
        <v>18</v>
      </c>
      <c r="G3">
        <f t="shared" ref="G3:G24" ca="1" si="1">RANDBETWEEN(1,1500)</f>
        <v>921</v>
      </c>
      <c r="I3">
        <f t="shared" ref="I3:I25" ca="1" si="2">RANDBETWEEN(1,20)</f>
        <v>3</v>
      </c>
      <c r="N3" s="2" t="str">
        <f ca="1">"(" &amp; A3 &amp; ", '" &amp; B3 &amp; "', '" &amp; C3 &amp; "', '" &amp; D3 &amp; "', '" &amp; E3 &amp; "', '" &amp; F3 &amp; "', " &amp; G3 &amp; ", " &amp; H3 &amp; ", " &amp; I3 &amp; ", " &amp; J3 &amp; ", " &amp; K3 &amp; ", " &amp; L3 &amp; "),"</f>
        <v>(Cheilodipterus quinquelineatus, 'Cardinale Pentastriato', 'Apogoninae', '11', '13,9807977673116', 'nero,giallo', 921, , 3, , , ),</v>
      </c>
    </row>
    <row r="4" spans="1:14">
      <c r="A4" t="s">
        <v>20</v>
      </c>
      <c r="B4" t="s">
        <v>19</v>
      </c>
      <c r="C4" t="s">
        <v>45</v>
      </c>
      <c r="D4">
        <v>10</v>
      </c>
      <c r="E4" s="1">
        <f t="shared" si="0"/>
        <v>12.58925411794168</v>
      </c>
      <c r="F4" t="s">
        <v>41</v>
      </c>
      <c r="G4">
        <f t="shared" ca="1" si="1"/>
        <v>103</v>
      </c>
      <c r="I4">
        <f t="shared" ca="1" si="2"/>
        <v>3</v>
      </c>
      <c r="N4" s="2" t="str">
        <f t="shared" ref="N4:N25" ca="1" si="3">"(" &amp; A4 &amp; ", '" &amp; B4 &amp; "', '" &amp; C4 &amp; "', '" &amp; D4 &amp; "', '" &amp; E4 &amp; "', '" &amp; F4 &amp; "', " &amp; G4 &amp; ", " &amp; H4 &amp; ", " &amp; I4 &amp; ", " &amp; J4 &amp; ", " &amp; K4 &amp; ", " &amp; L4 &amp; "),"</f>
        <v>( Scartella cristata, 'Bavosa Crestata', 'Blenniidae', '10', '12,5892541179417', 'marrone,beige', 103, , 3, , , ),</v>
      </c>
    </row>
    <row r="5" spans="1:14">
      <c r="A5" t="s">
        <v>21</v>
      </c>
      <c r="B5" t="s">
        <v>22</v>
      </c>
      <c r="C5" t="s">
        <v>45</v>
      </c>
      <c r="D5">
        <v>21</v>
      </c>
      <c r="E5" s="1">
        <f t="shared" si="0"/>
        <v>28.473524240570793</v>
      </c>
      <c r="F5" t="s">
        <v>41</v>
      </c>
      <c r="G5">
        <f t="shared" ca="1" si="1"/>
        <v>834</v>
      </c>
      <c r="I5">
        <f t="shared" ca="1" si="2"/>
        <v>4</v>
      </c>
      <c r="N5" s="2" t="str">
        <f t="shared" ca="1" si="3"/>
        <v>(Parablennius gattorugine, 'Bavosa Ruggine', 'Blenniidae', '21', '28,4735242405708', 'marrone,beige', 834, , 4, , , ),</v>
      </c>
    </row>
    <row r="6" spans="1:14">
      <c r="A6" t="s">
        <v>23</v>
      </c>
      <c r="B6" t="s">
        <v>24</v>
      </c>
      <c r="C6" t="s">
        <v>45</v>
      </c>
      <c r="D6">
        <v>7</v>
      </c>
      <c r="E6" s="1">
        <f t="shared" si="0"/>
        <v>8.5036983082734707</v>
      </c>
      <c r="F6" t="s">
        <v>42</v>
      </c>
      <c r="G6">
        <f t="shared" ca="1" si="1"/>
        <v>711</v>
      </c>
      <c r="I6">
        <f t="shared" ca="1" si="2"/>
        <v>1</v>
      </c>
      <c r="N6" s="2" t="str">
        <f t="shared" ca="1" si="3"/>
        <v>(Ophioblennius atlanticus, 'Bavosa Atlantica', 'Blenniidae', '7', '8,50369830827347', 'marrone,verde', 711, , 1, , , ),</v>
      </c>
    </row>
    <row r="7" spans="1:14">
      <c r="A7" t="s">
        <v>25</v>
      </c>
      <c r="B7" t="s">
        <v>26</v>
      </c>
      <c r="C7" t="s">
        <v>45</v>
      </c>
      <c r="D7">
        <v>10</v>
      </c>
      <c r="E7" s="1">
        <f t="shared" si="0"/>
        <v>12.58925411794168</v>
      </c>
      <c r="F7" t="s">
        <v>43</v>
      </c>
      <c r="G7">
        <f t="shared" ca="1" si="1"/>
        <v>63</v>
      </c>
      <c r="I7">
        <f t="shared" ca="1" si="2"/>
        <v>11</v>
      </c>
      <c r="N7" s="2" t="str">
        <f t="shared" ca="1" si="3"/>
        <v>(Parablennius parvicornis, 'Bavosa Delle Pozze', 'Blenniidae', '10', '12,5892541179417', 'marrone,giallo', 63, , 11, , , ),</v>
      </c>
    </row>
    <row r="8" spans="1:14">
      <c r="A8" t="s">
        <v>27</v>
      </c>
      <c r="B8" t="s">
        <v>28</v>
      </c>
      <c r="C8" t="s">
        <v>45</v>
      </c>
      <c r="D8">
        <v>6</v>
      </c>
      <c r="E8" s="1">
        <f t="shared" si="0"/>
        <v>7.1773871931078936</v>
      </c>
      <c r="F8" t="s">
        <v>44</v>
      </c>
      <c r="G8">
        <f t="shared" ca="1" si="1"/>
        <v>98</v>
      </c>
      <c r="I8">
        <f t="shared" ca="1" si="2"/>
        <v>14</v>
      </c>
      <c r="N8" s="2" t="str">
        <f t="shared" ca="1" si="3"/>
        <v>(Aidablennius sphynx, 'Bavosa Sfinge', 'Blenniidae', '6', '7,17738719310789', 'biege,giallo,azzurro', 98, , 14, , , ),</v>
      </c>
    </row>
    <row r="9" spans="1:14">
      <c r="A9" t="s">
        <v>29</v>
      </c>
      <c r="B9" t="s">
        <v>30</v>
      </c>
      <c r="C9" t="s">
        <v>46</v>
      </c>
      <c r="D9">
        <v>6</v>
      </c>
      <c r="E9" s="1">
        <f t="shared" si="0"/>
        <v>7.1773871931078936</v>
      </c>
      <c r="F9" t="s">
        <v>37</v>
      </c>
      <c r="G9">
        <f t="shared" ca="1" si="1"/>
        <v>421</v>
      </c>
      <c r="I9">
        <f t="shared" ca="1" si="2"/>
        <v>17</v>
      </c>
      <c r="N9" s="2" t="str">
        <f t="shared" ca="1" si="3"/>
        <v>(Pomacentrus moluccensis, 'Damigella limone', 'Pomacentridae', '6', '7,17738719310789', 'giallo, verde', 421, , 17, , , ),</v>
      </c>
    </row>
    <row r="10" spans="1:14">
      <c r="A10" t="s">
        <v>31</v>
      </c>
      <c r="B10" t="s">
        <v>32</v>
      </c>
      <c r="C10" t="s">
        <v>47</v>
      </c>
      <c r="D10">
        <v>16</v>
      </c>
      <c r="E10" s="1">
        <f t="shared" si="0"/>
        <v>21.112126572366307</v>
      </c>
      <c r="F10" t="s">
        <v>38</v>
      </c>
      <c r="G10">
        <f t="shared" ca="1" si="1"/>
        <v>1197</v>
      </c>
      <c r="I10">
        <f t="shared" ca="1" si="2"/>
        <v>2</v>
      </c>
      <c r="N10" s="2" t="str">
        <f t="shared" ca="1" si="3"/>
        <v>(Halichoeres scapularis, 'Labro a Zigzag', 'Labridae', '16', '21,1121265723663', 'rosa,azzurro,giallo', 1197, , 2, , , ),</v>
      </c>
    </row>
    <row r="11" spans="1:14">
      <c r="A11" t="s">
        <v>33</v>
      </c>
      <c r="B11" t="s">
        <v>35</v>
      </c>
      <c r="C11" t="s">
        <v>48</v>
      </c>
      <c r="D11">
        <v>35</v>
      </c>
      <c r="E11" s="1">
        <f t="shared" si="0"/>
        <v>49.943025596017797</v>
      </c>
      <c r="F11" t="s">
        <v>39</v>
      </c>
      <c r="G11">
        <f t="shared" ca="1" si="1"/>
        <v>1083</v>
      </c>
      <c r="I11">
        <f t="shared" ca="1" si="2"/>
        <v>18</v>
      </c>
      <c r="N11" s="2" t="str">
        <f t="shared" ca="1" si="3"/>
        <v>(Pomacanthus imperator, 'Angelo Imperatore', 'Pomacanthidae', '35', '49,9430255960178', 'blu,giallo,nero', 1083, , 18, , , ),</v>
      </c>
    </row>
    <row r="12" spans="1:14">
      <c r="A12" t="s">
        <v>36</v>
      </c>
      <c r="B12" t="s">
        <v>34</v>
      </c>
      <c r="C12" t="s">
        <v>49</v>
      </c>
      <c r="D12">
        <v>40</v>
      </c>
      <c r="E12" s="1">
        <f t="shared" si="0"/>
        <v>57.845021983677007</v>
      </c>
      <c r="F12" t="s">
        <v>40</v>
      </c>
      <c r="G12">
        <f t="shared" ca="1" si="1"/>
        <v>494</v>
      </c>
      <c r="I12">
        <f t="shared" ca="1" si="2"/>
        <v>10</v>
      </c>
      <c r="N12" s="2" t="str">
        <f t="shared" ca="1" si="3"/>
        <v>(Dactylopterus volitans, 'Civetta', 'Dactylopteridae', '40', '57,845021983677', 'marrone,nero,blu', 494, , 10, , , ),</v>
      </c>
    </row>
    <row r="13" spans="1:14">
      <c r="E13" s="1"/>
      <c r="N13" s="2"/>
    </row>
    <row r="14" spans="1:14">
      <c r="A14" t="s">
        <v>50</v>
      </c>
      <c r="C14" t="s">
        <v>59</v>
      </c>
      <c r="D14">
        <v>18</v>
      </c>
      <c r="E14" s="1">
        <f t="shared" si="0"/>
        <v>24.032544525725633</v>
      </c>
      <c r="F14" t="s">
        <v>71</v>
      </c>
      <c r="G14">
        <f t="shared" ca="1" si="1"/>
        <v>203</v>
      </c>
      <c r="I14">
        <f t="shared" ca="1" si="2"/>
        <v>4</v>
      </c>
      <c r="N14" s="2" t="str">
        <f t="shared" ca="1" si="3"/>
        <v>(Cheirocerus eques, '', 'Pimelodidae', '18', '24,0325445257256', 'trasparente', 203, , 4, , , ),</v>
      </c>
    </row>
    <row r="15" spans="1:14">
      <c r="A15" t="s">
        <v>51</v>
      </c>
      <c r="B15" t="s">
        <v>83</v>
      </c>
      <c r="C15" t="s">
        <v>60</v>
      </c>
      <c r="D15">
        <v>15</v>
      </c>
      <c r="E15" s="1">
        <f t="shared" si="0"/>
        <v>19.665291345596252</v>
      </c>
      <c r="F15" t="s">
        <v>72</v>
      </c>
      <c r="G15">
        <f t="shared" ca="1" si="1"/>
        <v>833</v>
      </c>
      <c r="I15">
        <f t="shared" ca="1" si="2"/>
        <v>3</v>
      </c>
      <c r="N15" s="2" t="str">
        <f t="shared" ca="1" si="3"/>
        <v>(Pterophyllum scalare, 'Angelo', 'Cichlidae', '15', '19,6652913455963', 'nero,trasparente', 833, , 3, , , ),</v>
      </c>
    </row>
    <row r="16" spans="1:14">
      <c r="A16" t="s">
        <v>70</v>
      </c>
      <c r="C16" t="s">
        <v>61</v>
      </c>
      <c r="D16">
        <v>6</v>
      </c>
      <c r="E16" s="1">
        <f t="shared" si="0"/>
        <v>7.1773871931078936</v>
      </c>
      <c r="F16" t="s">
        <v>73</v>
      </c>
      <c r="G16">
        <f t="shared" ca="1" si="1"/>
        <v>790</v>
      </c>
      <c r="I16">
        <f t="shared" ca="1" si="2"/>
        <v>5</v>
      </c>
      <c r="N16" s="2" t="str">
        <f t="shared" ca="1" si="3"/>
        <v>(Roeboides affinis, '', 'Characidae', '6', '7,17738719310789', 'grigio,trasparente', 790, , 5, , , ),</v>
      </c>
    </row>
    <row r="17" spans="1:14">
      <c r="A17" t="s">
        <v>52</v>
      </c>
      <c r="B17" t="s">
        <v>69</v>
      </c>
      <c r="C17" t="s">
        <v>62</v>
      </c>
      <c r="D17">
        <v>32</v>
      </c>
      <c r="E17" s="1">
        <f t="shared" si="0"/>
        <v>45.254833995939066</v>
      </c>
      <c r="F17" t="s">
        <v>74</v>
      </c>
      <c r="G17">
        <f t="shared" ca="1" si="1"/>
        <v>1475</v>
      </c>
      <c r="I17">
        <f t="shared" ca="1" si="2"/>
        <v>8</v>
      </c>
      <c r="N17" s="2" t="str">
        <f t="shared" ca="1" si="3"/>
        <v>(Boulengerella maculata, 'Agujeta', 'Ctenoluciidae', '32', '45,2548339959391', 'grigio,nero,trasparente', 1475, , 8, , , ),</v>
      </c>
    </row>
    <row r="18" spans="1:14">
      <c r="A18" t="s">
        <v>53</v>
      </c>
      <c r="C18" t="s">
        <v>64</v>
      </c>
      <c r="D18">
        <v>9</v>
      </c>
      <c r="E18" s="1">
        <f t="shared" si="0"/>
        <v>11.211578456539659</v>
      </c>
      <c r="F18" t="s">
        <v>76</v>
      </c>
      <c r="G18">
        <f t="shared" ca="1" si="1"/>
        <v>1437</v>
      </c>
      <c r="I18">
        <f t="shared" ca="1" si="2"/>
        <v>6</v>
      </c>
      <c r="N18" s="2" t="str">
        <f t="shared" ca="1" si="3"/>
        <v>(Lebiasina elongata, '', 'Lebiasinidae', '9', '11,2115784565397', 'nero,beige,grigio', 1437, , 6, , , ),</v>
      </c>
    </row>
    <row r="19" spans="1:14">
      <c r="A19" t="s">
        <v>54</v>
      </c>
      <c r="C19" t="s">
        <v>63</v>
      </c>
      <c r="D19">
        <v>8</v>
      </c>
      <c r="E19" s="1">
        <f t="shared" si="0"/>
        <v>9.8491553067593287</v>
      </c>
      <c r="F19" t="s">
        <v>75</v>
      </c>
      <c r="G19">
        <f t="shared" ca="1" si="1"/>
        <v>1230</v>
      </c>
      <c r="I19">
        <f t="shared" ca="1" si="2"/>
        <v>2</v>
      </c>
      <c r="N19" s="2" t="str">
        <f t="shared" ca="1" si="3"/>
        <v>(Amblydoras nauticus, '', 'Doradidae', '8', '9,84915530675933', 'nero,beige', 1230, , 2, , , ),</v>
      </c>
    </row>
    <row r="20" spans="1:14">
      <c r="A20" t="s">
        <v>55</v>
      </c>
      <c r="C20" t="s">
        <v>61</v>
      </c>
      <c r="D20">
        <v>2</v>
      </c>
      <c r="E20" s="1">
        <f t="shared" si="0"/>
        <v>2.1435469250725863</v>
      </c>
      <c r="F20" t="s">
        <v>77</v>
      </c>
      <c r="G20">
        <f t="shared" ca="1" si="1"/>
        <v>1030</v>
      </c>
      <c r="I20">
        <f t="shared" ca="1" si="2"/>
        <v>20</v>
      </c>
      <c r="N20" s="2" t="str">
        <f t="shared" ca="1" si="3"/>
        <v>(Hemigrammus bellottii, '', 'Characidae', '2', '2,14354692507259', 'trasparente,grigio', 1030, , 20, , , ),</v>
      </c>
    </row>
    <row r="21" spans="1:14">
      <c r="A21" t="s">
        <v>56</v>
      </c>
      <c r="B21" t="s">
        <v>65</v>
      </c>
      <c r="C21" t="s">
        <v>64</v>
      </c>
      <c r="D21">
        <v>4</v>
      </c>
      <c r="E21" s="1">
        <f t="shared" si="0"/>
        <v>4.5947934199881395</v>
      </c>
      <c r="F21" t="s">
        <v>81</v>
      </c>
      <c r="G21">
        <f t="shared" ca="1" si="1"/>
        <v>773</v>
      </c>
      <c r="I21">
        <f t="shared" ca="1" si="2"/>
        <v>19</v>
      </c>
      <c r="N21" s="2" t="str">
        <f t="shared" ca="1" si="3"/>
        <v>(Copella nattereri, 'Tetra Maculata', 'Lebiasinidae', '4', '4,59479341998814', 'nero,grigio,rosso', 773, , 19, , , ),</v>
      </c>
    </row>
    <row r="22" spans="1:14">
      <c r="A22" t="s">
        <v>57</v>
      </c>
      <c r="B22" t="s">
        <v>66</v>
      </c>
      <c r="C22" t="s">
        <v>61</v>
      </c>
      <c r="D22">
        <v>6</v>
      </c>
      <c r="E22" s="1">
        <f t="shared" si="0"/>
        <v>7.1773871931078936</v>
      </c>
      <c r="F22" t="s">
        <v>82</v>
      </c>
      <c r="G22">
        <f t="shared" ca="1" si="1"/>
        <v>1320</v>
      </c>
      <c r="I22">
        <f t="shared" ca="1" si="2"/>
        <v>11</v>
      </c>
      <c r="N22" s="2" t="str">
        <f t="shared" ca="1" si="3"/>
        <v>(Megalamphodus erythrostigma, 'Tetra Macchia Rossa', 'Characidae', '6', '7,17738719310789', 'giallo,rosso,trasparente', 1320, , 11, , , ),</v>
      </c>
    </row>
    <row r="23" spans="1:14">
      <c r="A23" t="s">
        <v>79</v>
      </c>
      <c r="B23" t="s">
        <v>80</v>
      </c>
      <c r="C23" t="s">
        <v>59</v>
      </c>
      <c r="D23">
        <v>20</v>
      </c>
      <c r="E23" s="1">
        <f t="shared" si="0"/>
        <v>26.985656953471274</v>
      </c>
      <c r="F23" t="s">
        <v>78</v>
      </c>
      <c r="G23">
        <f t="shared" ca="1" si="1"/>
        <v>925</v>
      </c>
      <c r="I23">
        <f t="shared" ca="1" si="2"/>
        <v>6</v>
      </c>
      <c r="N23" s="2" t="str">
        <f t="shared" ca="1" si="3"/>
        <v>(Pimelodus blochii, 'Pesce Gatto Di Bloch', 'Pimelodidae', '20', '26,9856569534713', 'beige', 925, , 6, , , ),</v>
      </c>
    </row>
    <row r="24" spans="1:14">
      <c r="A24" t="s">
        <v>58</v>
      </c>
      <c r="B24" t="s">
        <v>68</v>
      </c>
      <c r="C24" t="s">
        <v>67</v>
      </c>
      <c r="D24">
        <v>4</v>
      </c>
      <c r="E24" s="1">
        <f t="shared" si="0"/>
        <v>4.5947934199881395</v>
      </c>
      <c r="F24" t="s">
        <v>71</v>
      </c>
      <c r="G24">
        <f t="shared" ca="1" si="1"/>
        <v>1071</v>
      </c>
      <c r="I24">
        <f t="shared" ca="1" si="2"/>
        <v>1</v>
      </c>
      <c r="N24" s="2" t="str">
        <f t="shared" ca="1" si="3"/>
        <v>(Hoplisoma loretoense, 'Loreto Cory', 'Callichthyidae', '4', '4,59479341998814', 'trasparente', 1071, , 1, , , ),</v>
      </c>
    </row>
    <row r="25" spans="1:14">
      <c r="N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Gingillino</dc:creator>
  <cp:lastModifiedBy>Aaron Gingillino</cp:lastModifiedBy>
  <dcterms:created xsi:type="dcterms:W3CDTF">2026-01-09T17:30:50Z</dcterms:created>
  <dcterms:modified xsi:type="dcterms:W3CDTF">2026-01-10T22:46:53Z</dcterms:modified>
</cp:coreProperties>
</file>